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misc\6165\09_queuing_models\"/>
    </mc:Choice>
  </mc:AlternateContent>
  <bookViews>
    <workbookView xWindow="480" yWindow="132" windowWidth="8412" windowHeight="3696"/>
  </bookViews>
  <sheets>
    <sheet name="MMs" sheetId="1" r:id="rId1"/>
    <sheet name="MMs (2)" sheetId="3" r:id="rId2"/>
    <sheet name="Module1" sheetId="2" state="veryHidden" r:id=""/>
  </sheets>
  <definedNames>
    <definedName name="ArriveRate" localSheetId="1">'MMs (2)'!$B$4</definedName>
    <definedName name="ArriveRate">MMs!$B$4</definedName>
    <definedName name="L" localSheetId="1">'MMs (2)'!$B$21</definedName>
    <definedName name="L">MMs!$B$21</definedName>
    <definedName name="Lq" localSheetId="1">'MMs (2)'!$B$20</definedName>
    <definedName name="Lq">MMs!$B$20</definedName>
    <definedName name="NServers" localSheetId="1">'MMs (2)'!$B$6</definedName>
    <definedName name="NServers">MMs!$B$6</definedName>
    <definedName name="PNoWait" localSheetId="1">'MMs (2)'!#REF!</definedName>
    <definedName name="PNoWait">MMs!#REF!</definedName>
    <definedName name="Prob0" localSheetId="1">'MMs (2)'!$B$16</definedName>
    <definedName name="Prob0">MMs!$B$16</definedName>
    <definedName name="PWait" localSheetId="1">'MMs (2)'!$B$17</definedName>
    <definedName name="PWait">MMs!$B$17</definedName>
    <definedName name="ServeRate" localSheetId="1">'MMs (2)'!$B$5</definedName>
    <definedName name="ServeRate">MMs!$B$5</definedName>
    <definedName name="ServiceCost" localSheetId="1">#REF!</definedName>
    <definedName name="ServiceCost">#REF!</definedName>
    <definedName name="ServiceCost1" localSheetId="1">'MMs (2)'!$B$7</definedName>
    <definedName name="ServiceCost1">MMs!$B$7</definedName>
    <definedName name="Unit" localSheetId="1">'MMs (2)'!$B$3</definedName>
    <definedName name="Unit">MMs!$B$3</definedName>
    <definedName name="Util" localSheetId="1">'MMs (2)'!$B$14</definedName>
    <definedName name="Util">MMs!$B$14</definedName>
    <definedName name="W" localSheetId="1">'MMs (2)'!$B$19</definedName>
    <definedName name="W">MMs!$B$19</definedName>
    <definedName name="WaitCost" localSheetId="1">#REF!</definedName>
    <definedName name="WaitCost">#REF!</definedName>
    <definedName name="WaitCost1" localSheetId="1">'MMs (2)'!$B$8</definedName>
    <definedName name="WaitCost1">MMs!$B$8</definedName>
    <definedName name="Wq" localSheetId="1">'MMs (2)'!$B$18</definedName>
    <definedName name="Wq">MMs!$B$18</definedName>
  </definedNames>
  <calcPr calcId="162913"/>
</workbook>
</file>

<file path=xl/calcChain.xml><?xml version="1.0" encoding="utf-8"?>
<calcChain xmlns="http://schemas.openxmlformats.org/spreadsheetml/2006/main">
  <c r="B23" i="3" l="1"/>
  <c r="L11" i="3" s="1"/>
  <c r="C19" i="3"/>
  <c r="C18" i="3"/>
  <c r="B14" i="3"/>
  <c r="B17" i="3" s="1"/>
  <c r="B20" i="3" s="1"/>
  <c r="C13" i="3"/>
  <c r="B13" i="3"/>
  <c r="C12" i="3"/>
  <c r="B12" i="3"/>
  <c r="G11" i="3"/>
  <c r="E11" i="3"/>
  <c r="C8" i="3"/>
  <c r="C7" i="3"/>
  <c r="C5" i="3"/>
  <c r="C4" i="3"/>
  <c r="E11" i="1"/>
  <c r="F11" i="3" l="1"/>
  <c r="B18" i="3"/>
  <c r="H11" i="3" s="1"/>
  <c r="J11" i="3"/>
  <c r="B24" i="3"/>
  <c r="M11" i="3" s="1"/>
  <c r="B21" i="3"/>
  <c r="B14" i="1"/>
  <c r="B17" i="1" s="1"/>
  <c r="B20" i="1" s="1"/>
  <c r="B23" i="1"/>
  <c r="L11" i="1" s="1"/>
  <c r="G11" i="1"/>
  <c r="C8" i="1"/>
  <c r="C7" i="1"/>
  <c r="B13" i="1"/>
  <c r="B12" i="1"/>
  <c r="C5" i="1"/>
  <c r="C4" i="1"/>
  <c r="C13" i="1"/>
  <c r="C12" i="1"/>
  <c r="C18" i="1"/>
  <c r="C19" i="1"/>
  <c r="B25" i="3" l="1"/>
  <c r="N11" i="3" s="1"/>
  <c r="B19" i="3"/>
  <c r="I11" i="3" s="1"/>
  <c r="K11" i="3"/>
  <c r="F11" i="1"/>
  <c r="J11" i="1"/>
  <c r="B18" i="1"/>
  <c r="H11" i="1" s="1"/>
  <c r="B24" i="1"/>
  <c r="B21" i="1"/>
  <c r="B25" i="1" l="1"/>
  <c r="N11" i="1" s="1"/>
  <c r="M11" i="1"/>
  <c r="K11" i="1"/>
  <c r="B19" i="1"/>
  <c r="I11" i="1" s="1"/>
</calcChain>
</file>

<file path=xl/sharedStrings.xml><?xml version="1.0" encoding="utf-8"?>
<sst xmlns="http://schemas.openxmlformats.org/spreadsheetml/2006/main" count="103" uniqueCount="44">
  <si>
    <t>Directions:</t>
  </si>
  <si>
    <t>Unit of time</t>
  </si>
  <si>
    <t>hour</t>
  </si>
  <si>
    <t>Arrival rate</t>
  </si>
  <si>
    <t>Service rate per server</t>
  </si>
  <si>
    <t>Number of servers</t>
  </si>
  <si>
    <t>Percentage who wait in queue</t>
  </si>
  <si>
    <t>customers</t>
  </si>
  <si>
    <t>Service cost</t>
  </si>
  <si>
    <t>Waiting cost</t>
  </si>
  <si>
    <t>INPUTS</t>
  </si>
  <si>
    <t>OUTPUTS</t>
  </si>
  <si>
    <t>Cost</t>
  </si>
  <si>
    <t>Waiting Line</t>
  </si>
  <si>
    <t>Rho</t>
  </si>
  <si>
    <t>Wq</t>
  </si>
  <si>
    <t>Ws</t>
  </si>
  <si>
    <t>Lq</t>
  </si>
  <si>
    <t>Ls</t>
  </si>
  <si>
    <t xml:space="preserve">Direct outputs </t>
  </si>
  <si>
    <t>Queuing measures</t>
  </si>
  <si>
    <t>$</t>
  </si>
  <si>
    <t>Average time between arrivals</t>
  </si>
  <si>
    <t>Average time per service</t>
  </si>
  <si>
    <t>Po</t>
  </si>
  <si>
    <t xml:space="preserve">Probability of empty system, Po </t>
  </si>
  <si>
    <t>Average time in queue, Wq</t>
  </si>
  <si>
    <t>Average time in system, Ws</t>
  </si>
  <si>
    <t>Average number in queue, Lq</t>
  </si>
  <si>
    <t>Average number in system, Ls</t>
  </si>
  <si>
    <t>M/M/</t>
  </si>
  <si>
    <t>M/M/1 and M/M/s queuing template</t>
  </si>
  <si>
    <t>Service cost, $</t>
  </si>
  <si>
    <t>Waiting cost, $</t>
  </si>
  <si>
    <t>Total cost, $</t>
  </si>
  <si>
    <r>
      <t>1.  Enter inputs in cells</t>
    </r>
    <r>
      <rPr>
        <b/>
        <u/>
        <sz val="10"/>
        <rFont val="Arial"/>
        <family val="2"/>
      </rPr>
      <t xml:space="preserve"> </t>
    </r>
    <r>
      <rPr>
        <b/>
        <u/>
        <sz val="10"/>
        <color rgb="FFFF0000"/>
        <rFont val="Arial"/>
        <family val="2"/>
      </rPr>
      <t>B4 through B8</t>
    </r>
    <r>
      <rPr>
        <b/>
        <sz val="10"/>
        <rFont val="Arial"/>
        <family val="2"/>
      </rPr>
      <t>.</t>
    </r>
  </si>
  <si>
    <r>
      <t>2.  Click the</t>
    </r>
    <r>
      <rPr>
        <b/>
        <sz val="10"/>
        <color rgb="FFFF0000"/>
        <rFont val="Arial"/>
        <family val="2"/>
      </rPr>
      <t xml:space="preserve"> </t>
    </r>
    <r>
      <rPr>
        <b/>
        <u/>
        <sz val="10"/>
        <color rgb="FFFF0000"/>
        <rFont val="Arial"/>
        <family val="2"/>
      </rPr>
      <t>Perform Calculations</t>
    </r>
    <r>
      <rPr>
        <b/>
        <sz val="10"/>
        <rFont val="Arial"/>
        <family val="2"/>
      </rPr>
      <t xml:space="preserve"> button to see results. </t>
    </r>
  </si>
  <si>
    <r>
      <t xml:space="preserve">2.  Click the </t>
    </r>
    <r>
      <rPr>
        <b/>
        <u/>
        <sz val="10"/>
        <color rgb="FFFF0000"/>
        <rFont val="Arial"/>
        <family val="2"/>
      </rPr>
      <t>Perform Calculations</t>
    </r>
    <r>
      <rPr>
        <b/>
        <sz val="10"/>
        <rFont val="Arial"/>
        <family val="2"/>
      </rPr>
      <t xml:space="preserve"> button to see results. </t>
    </r>
  </si>
  <si>
    <r>
      <t xml:space="preserve">1.  Enter inputs in cells </t>
    </r>
    <r>
      <rPr>
        <b/>
        <u/>
        <sz val="10"/>
        <color rgb="FFFF0000"/>
        <rFont val="Arial"/>
        <family val="2"/>
      </rPr>
      <t>B4 through B8</t>
    </r>
    <r>
      <rPr>
        <b/>
        <sz val="10"/>
        <color rgb="FFFF0000"/>
        <rFont val="Arial"/>
        <family val="2"/>
      </rPr>
      <t>.</t>
    </r>
  </si>
  <si>
    <t>Total cost, TC</t>
  </si>
  <si>
    <t>Service cost, SC</t>
  </si>
  <si>
    <t>Waiting cost, WC</t>
  </si>
  <si>
    <t xml:space="preserve">Summary Table </t>
  </si>
  <si>
    <t>Server utilization, Rho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</si>
</sst>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%"/>
    <numFmt numFmtId="167" formatCode="0.0"/>
  </numFmts>
  <fonts count="1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color rgb="FF0000FF"/>
      <name val="Arial"/>
      <family val="2"/>
    </font>
    <font>
      <b/>
      <sz val="10"/>
      <color rgb="FFC00000"/>
      <name val="Arial"/>
      <family val="2"/>
    </font>
    <font>
      <b/>
      <i/>
      <sz val="10"/>
      <color rgb="FF0000FF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b/>
      <u/>
      <sz val="10"/>
      <color rgb="FFFF0000"/>
      <name val="Arial"/>
      <family val="2"/>
    </font>
    <font>
      <b/>
      <u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73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0" fontId="3" fillId="0" borderId="0" xfId="0" applyFon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1" fillId="0" borderId="0" xfId="0" applyFont="1" applyAlignment="1">
      <alignment horizontal="right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3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left"/>
    </xf>
    <xf numFmtId="165" fontId="7" fillId="0" borderId="1" xfId="0" applyNumberFormat="1" applyFont="1" applyBorder="1" applyAlignment="1">
      <alignment horizontal="center"/>
    </xf>
    <xf numFmtId="0" fontId="7" fillId="0" borderId="1" xfId="0" applyFont="1" applyBorder="1"/>
    <xf numFmtId="2" fontId="7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166" fontId="2" fillId="0" borderId="1" xfId="2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6" fillId="0" borderId="0" xfId="0" applyFont="1" applyAlignment="1">
      <alignment horizontal="left"/>
    </xf>
    <xf numFmtId="0" fontId="8" fillId="0" borderId="1" xfId="0" applyFont="1" applyBorder="1"/>
    <xf numFmtId="0" fontId="7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165" fontId="7" fillId="0" borderId="0" xfId="0" applyNumberFormat="1" applyFont="1" applyBorder="1" applyAlignment="1">
      <alignment horizontal="center"/>
    </xf>
    <xf numFmtId="0" fontId="7" fillId="0" borderId="0" xfId="0" applyFont="1" applyBorder="1"/>
    <xf numFmtId="2" fontId="7" fillId="0" borderId="0" xfId="0" applyNumberFormat="1" applyFont="1" applyBorder="1" applyAlignment="1">
      <alignment horizontal="center"/>
    </xf>
    <xf numFmtId="0" fontId="0" fillId="0" borderId="0" xfId="0" applyBorder="1"/>
    <xf numFmtId="0" fontId="3" fillId="0" borderId="0" xfId="0" applyFont="1" applyBorder="1"/>
    <xf numFmtId="165" fontId="3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wrapText="1"/>
    </xf>
    <xf numFmtId="0" fontId="10" fillId="0" borderId="0" xfId="0" applyFont="1"/>
    <xf numFmtId="0" fontId="1" fillId="0" borderId="1" xfId="0" applyFont="1" applyBorder="1" applyAlignment="1">
      <alignment horizontal="center" wrapText="1"/>
    </xf>
    <xf numFmtId="165" fontId="3" fillId="0" borderId="1" xfId="0" applyNumberFormat="1" applyFont="1" applyBorder="1" applyAlignment="1">
      <alignment horizontal="center" wrapText="1"/>
    </xf>
    <xf numFmtId="0" fontId="0" fillId="0" borderId="2" xfId="0" applyBorder="1" applyAlignment="1">
      <alignment horizontal="center"/>
    </xf>
    <xf numFmtId="0" fontId="1" fillId="0" borderId="0" xfId="0" applyFont="1" applyBorder="1" applyAlignment="1">
      <alignment horizontal="center" wrapText="1"/>
    </xf>
    <xf numFmtId="0" fontId="1" fillId="0" borderId="1" xfId="0" applyFont="1" applyBorder="1"/>
    <xf numFmtId="0" fontId="7" fillId="0" borderId="1" xfId="0" applyFont="1" applyBorder="1" applyAlignment="1">
      <alignment horizontal="right"/>
    </xf>
    <xf numFmtId="165" fontId="3" fillId="0" borderId="0" xfId="0" applyNumberFormat="1" applyFont="1" applyBorder="1" applyAlignment="1">
      <alignment horizontal="center" wrapText="1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1" fillId="0" borderId="0" xfId="0" applyFont="1" applyBorder="1" applyAlignment="1"/>
    <xf numFmtId="0" fontId="0" fillId="0" borderId="0" xfId="0" applyBorder="1" applyAlignment="1"/>
    <xf numFmtId="0" fontId="1" fillId="0" borderId="1" xfId="0" applyFont="1" applyBorder="1" applyAlignment="1">
      <alignment horizontal="right"/>
    </xf>
    <xf numFmtId="0" fontId="1" fillId="0" borderId="1" xfId="0" applyFont="1" applyBorder="1" applyAlignment="1">
      <alignment horizontal="left"/>
    </xf>
    <xf numFmtId="165" fontId="1" fillId="0" borderId="1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0" xfId="0" applyFont="1"/>
    <xf numFmtId="0" fontId="2" fillId="0" borderId="1" xfId="0" applyFont="1" applyBorder="1"/>
    <xf numFmtId="0" fontId="2" fillId="0" borderId="0" xfId="0" applyFont="1" applyBorder="1"/>
    <xf numFmtId="0" fontId="6" fillId="0" borderId="0" xfId="0" applyFont="1" applyBorder="1" applyAlignment="1">
      <alignment horizontal="left"/>
    </xf>
    <xf numFmtId="0" fontId="7" fillId="2" borderId="1" xfId="0" applyFont="1" applyFill="1" applyBorder="1" applyAlignment="1">
      <alignment horizontal="right"/>
    </xf>
    <xf numFmtId="0" fontId="7" fillId="2" borderId="1" xfId="0" applyFont="1" applyFill="1" applyBorder="1" applyAlignment="1">
      <alignment horizontal="left"/>
    </xf>
    <xf numFmtId="165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/>
    <xf numFmtId="2" fontId="7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7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167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/>
    </xf>
    <xf numFmtId="0" fontId="0" fillId="0" borderId="0" xfId="0" applyBorder="1" applyAlignment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</cellXfs>
  <cellStyles count="3">
    <cellStyle name="Normal" xfId="0" builtinId="0"/>
    <cellStyle name="Normal 2" xfId="1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1699260</xdr:colOff>
          <xdr:row>8</xdr:row>
          <xdr:rowOff>45720</xdr:rowOff>
        </xdr:from>
        <xdr:to>
          <xdr:col>2</xdr:col>
          <xdr:colOff>152400</xdr:colOff>
          <xdr:row>10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Perform  Calculations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1699260</xdr:colOff>
          <xdr:row>8</xdr:row>
          <xdr:rowOff>45720</xdr:rowOff>
        </xdr:from>
        <xdr:to>
          <xdr:col>2</xdr:col>
          <xdr:colOff>152400</xdr:colOff>
          <xdr:row>10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Perform  Calculations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50"/>
  <sheetViews>
    <sheetView tabSelected="1" workbookViewId="0">
      <selection activeCell="B6" sqref="B6"/>
    </sheetView>
  </sheetViews>
  <sheetFormatPr defaultRowHeight="13.2" x14ac:dyDescent="0.25"/>
  <cols>
    <col min="1" max="1" width="27" customWidth="1"/>
    <col min="2" max="2" width="9.6640625" style="5" customWidth="1"/>
    <col min="3" max="3" width="13.33203125" style="5" customWidth="1"/>
    <col min="4" max="4" width="5.88671875" customWidth="1"/>
    <col min="5" max="5" width="8.5546875" customWidth="1"/>
    <col min="6" max="6" width="14.33203125" customWidth="1"/>
    <col min="7" max="7" width="6" customWidth="1"/>
    <col min="8" max="8" width="6.5546875" customWidth="1"/>
    <col min="9" max="9" width="7.6640625" customWidth="1"/>
    <col min="10" max="10" width="6.109375" customWidth="1"/>
    <col min="11" max="11" width="5.6640625" customWidth="1"/>
    <col min="12" max="12" width="9.44140625" customWidth="1"/>
    <col min="13" max="13" width="10.33203125" customWidth="1"/>
    <col min="14" max="14" width="8" customWidth="1"/>
  </cols>
  <sheetData>
    <row r="1" spans="1:14" x14ac:dyDescent="0.25">
      <c r="A1" s="26" t="s">
        <v>31</v>
      </c>
    </row>
    <row r="2" spans="1:14" x14ac:dyDescent="0.25">
      <c r="A2" s="27" t="s">
        <v>10</v>
      </c>
      <c r="B2" s="14"/>
      <c r="C2" s="14"/>
    </row>
    <row r="3" spans="1:14" x14ac:dyDescent="0.25">
      <c r="A3" s="15" t="s">
        <v>1</v>
      </c>
      <c r="B3" s="64" t="s">
        <v>2</v>
      </c>
      <c r="C3" s="14"/>
    </row>
    <row r="4" spans="1:14" x14ac:dyDescent="0.25">
      <c r="A4" s="15" t="s">
        <v>3</v>
      </c>
      <c r="B4" s="65">
        <v>26</v>
      </c>
      <c r="C4" s="14" t="str">
        <f>"customers/"&amp;Unit</f>
        <v>customers/hour</v>
      </c>
      <c r="D4" s="2"/>
      <c r="E4" s="11" t="s">
        <v>0</v>
      </c>
    </row>
    <row r="5" spans="1:14" x14ac:dyDescent="0.25">
      <c r="A5" s="15" t="s">
        <v>4</v>
      </c>
      <c r="B5" s="65">
        <v>30</v>
      </c>
      <c r="C5" s="14" t="str">
        <f>"customers/"&amp;Unit</f>
        <v>customers/hour</v>
      </c>
      <c r="D5" s="2"/>
      <c r="E5" s="1" t="s">
        <v>35</v>
      </c>
      <c r="F5" s="55"/>
      <c r="G5" s="55"/>
      <c r="H5" s="55"/>
      <c r="I5" s="55"/>
      <c r="J5" s="55"/>
      <c r="K5" s="38"/>
      <c r="L5" s="38"/>
    </row>
    <row r="6" spans="1:14" x14ac:dyDescent="0.25">
      <c r="A6" s="15" t="s">
        <v>5</v>
      </c>
      <c r="B6" s="64">
        <v>1</v>
      </c>
      <c r="C6" s="14"/>
      <c r="D6" s="2"/>
      <c r="E6" s="1" t="s">
        <v>36</v>
      </c>
      <c r="F6" s="55"/>
      <c r="G6" s="55"/>
      <c r="H6" s="55"/>
      <c r="I6" s="55"/>
      <c r="J6" s="55"/>
      <c r="K6" s="38"/>
      <c r="L6" s="38"/>
    </row>
    <row r="7" spans="1:14" x14ac:dyDescent="0.25">
      <c r="A7" s="15" t="s">
        <v>8</v>
      </c>
      <c r="B7" s="66">
        <v>8</v>
      </c>
      <c r="C7" s="14" t="str">
        <f>"$/"&amp;Unit</f>
        <v>$/hour</v>
      </c>
    </row>
    <row r="8" spans="1:14" x14ac:dyDescent="0.25">
      <c r="A8" s="15" t="s">
        <v>9</v>
      </c>
      <c r="B8" s="66">
        <v>15</v>
      </c>
      <c r="C8" s="14" t="str">
        <f>"$/"&amp;Unit</f>
        <v>$/hour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14" x14ac:dyDescent="0.25">
      <c r="D9" s="70"/>
      <c r="E9" s="70"/>
      <c r="F9" s="35"/>
      <c r="G9" s="57"/>
      <c r="H9" s="58" t="s">
        <v>42</v>
      </c>
      <c r="I9" s="36"/>
      <c r="J9" s="36"/>
      <c r="K9" s="36"/>
      <c r="L9" s="42"/>
      <c r="M9" s="37"/>
      <c r="N9" s="36"/>
    </row>
    <row r="10" spans="1:14" ht="26.4" x14ac:dyDescent="0.25">
      <c r="A10" s="27" t="s">
        <v>11</v>
      </c>
      <c r="B10" s="14"/>
      <c r="C10" s="14"/>
      <c r="D10" s="43" t="s">
        <v>13</v>
      </c>
      <c r="E10" s="13"/>
      <c r="F10" s="40" t="s">
        <v>14</v>
      </c>
      <c r="G10" s="16" t="s">
        <v>24</v>
      </c>
      <c r="H10" s="16" t="s">
        <v>15</v>
      </c>
      <c r="I10" s="16" t="s">
        <v>16</v>
      </c>
      <c r="J10" s="16" t="s">
        <v>17</v>
      </c>
      <c r="K10" s="16" t="s">
        <v>18</v>
      </c>
      <c r="L10" s="39" t="s">
        <v>32</v>
      </c>
      <c r="M10" s="39" t="s">
        <v>33</v>
      </c>
      <c r="N10" s="39" t="s">
        <v>34</v>
      </c>
    </row>
    <row r="11" spans="1:14" x14ac:dyDescent="0.25">
      <c r="A11" s="27" t="s">
        <v>19</v>
      </c>
      <c r="B11" s="14"/>
      <c r="C11" s="14"/>
      <c r="D11" s="59" t="s">
        <v>30</v>
      </c>
      <c r="E11" s="60">
        <f>NServers</f>
        <v>1</v>
      </c>
      <c r="F11" s="61">
        <f>B14</f>
        <v>0.8666666666666667</v>
      </c>
      <c r="G11" s="62">
        <f>Prob0</f>
        <v>0.13333332538604736</v>
      </c>
      <c r="H11" s="61">
        <f>B18</f>
        <v>0.21666665375232708</v>
      </c>
      <c r="I11" s="61">
        <f>B19</f>
        <v>0.24999998708566037</v>
      </c>
      <c r="J11" s="61">
        <f>B20</f>
        <v>5.6333329975605038</v>
      </c>
      <c r="K11" s="61">
        <f>B21</f>
        <v>6.49999966422717</v>
      </c>
      <c r="L11" s="63">
        <f>B23</f>
        <v>8</v>
      </c>
      <c r="M11" s="63">
        <f>B24</f>
        <v>84.499994963407559</v>
      </c>
      <c r="N11" s="63">
        <f>B25</f>
        <v>92.499994963407559</v>
      </c>
    </row>
    <row r="12" spans="1:14" x14ac:dyDescent="0.25">
      <c r="A12" s="15" t="s">
        <v>22</v>
      </c>
      <c r="B12" s="21">
        <f>1/ArriveRate</f>
        <v>3.8461538461538464E-2</v>
      </c>
      <c r="C12" s="14" t="str">
        <f>Unit&amp;"s"</f>
        <v>hours</v>
      </c>
      <c r="D12" s="2"/>
      <c r="E12" s="12"/>
      <c r="F12" s="10"/>
      <c r="H12" s="2"/>
      <c r="I12" s="2"/>
    </row>
    <row r="13" spans="1:14" x14ac:dyDescent="0.25">
      <c r="A13" s="15" t="s">
        <v>23</v>
      </c>
      <c r="B13" s="21">
        <f>1/ServeRate</f>
        <v>3.3333333333333333E-2</v>
      </c>
      <c r="C13" s="14" t="str">
        <f>Unit&amp;"s"</f>
        <v>hours</v>
      </c>
      <c r="D13" s="33"/>
      <c r="E13" s="34"/>
      <c r="F13" s="35"/>
      <c r="G13" s="33"/>
      <c r="H13" s="36"/>
      <c r="I13" s="36"/>
      <c r="J13" s="36"/>
      <c r="K13" s="36"/>
      <c r="L13" s="37"/>
      <c r="M13" s="37"/>
      <c r="N13" s="36"/>
    </row>
    <row r="14" spans="1:14" ht="14.4" customHeight="1" x14ac:dyDescent="0.25">
      <c r="A14" s="56" t="s">
        <v>43</v>
      </c>
      <c r="B14" s="21">
        <f>ArriveRate/(NServers*ServeRate)</f>
        <v>0.8666666666666667</v>
      </c>
      <c r="C14" s="14"/>
      <c r="D14" s="48"/>
      <c r="E14" s="49"/>
      <c r="F14" s="45"/>
      <c r="G14" s="37"/>
      <c r="H14" s="37"/>
      <c r="I14" s="37"/>
      <c r="J14" s="37"/>
      <c r="K14" s="37"/>
      <c r="L14" s="37"/>
      <c r="M14" s="37"/>
      <c r="N14" s="37"/>
    </row>
    <row r="15" spans="1:14" x14ac:dyDescent="0.25">
      <c r="A15" s="27" t="s">
        <v>20</v>
      </c>
      <c r="B15" s="21"/>
      <c r="C15" s="14"/>
      <c r="D15" s="28"/>
      <c r="E15" s="29"/>
      <c r="F15" s="30"/>
      <c r="G15" s="31"/>
      <c r="H15" s="30"/>
      <c r="I15" s="30"/>
      <c r="J15" s="30"/>
      <c r="K15" s="30"/>
      <c r="L15" s="32"/>
      <c r="M15" s="32"/>
      <c r="N15" s="32"/>
    </row>
    <row r="16" spans="1:14" x14ac:dyDescent="0.25">
      <c r="A16" s="15" t="s">
        <v>25</v>
      </c>
      <c r="B16" s="22">
        <v>0.13333332538604736</v>
      </c>
      <c r="C16" s="14"/>
      <c r="D16" s="28"/>
      <c r="E16" s="29"/>
      <c r="F16" s="30"/>
      <c r="G16" s="31"/>
      <c r="H16" s="30"/>
      <c r="I16" s="30"/>
      <c r="J16" s="30"/>
      <c r="K16" s="30"/>
      <c r="L16" s="32"/>
      <c r="M16" s="32"/>
      <c r="N16" s="32"/>
    </row>
    <row r="17" spans="1:14" x14ac:dyDescent="0.25">
      <c r="A17" s="15" t="s">
        <v>6</v>
      </c>
      <c r="B17" s="23">
        <f>(NServers*Util)^NServers*Prob0/(FACT(NServers)*(1-Util))</f>
        <v>0.86666661500930808</v>
      </c>
      <c r="C17" s="14"/>
      <c r="D17" s="28"/>
      <c r="E17" s="29"/>
      <c r="F17" s="30"/>
      <c r="G17" s="31"/>
      <c r="H17" s="30"/>
      <c r="I17" s="30"/>
      <c r="J17" s="30"/>
      <c r="K17" s="30"/>
      <c r="L17" s="32"/>
      <c r="M17" s="32"/>
      <c r="N17" s="32"/>
    </row>
    <row r="18" spans="1:14" x14ac:dyDescent="0.25">
      <c r="A18" s="15" t="s">
        <v>26</v>
      </c>
      <c r="B18" s="22">
        <f>Lq/ArriveRate</f>
        <v>0.21666665375232708</v>
      </c>
      <c r="C18" s="14" t="str">
        <f>Unit&amp;"s"</f>
        <v>hours</v>
      </c>
      <c r="D18" s="28"/>
      <c r="E18" s="29"/>
      <c r="F18" s="30"/>
      <c r="G18" s="46"/>
      <c r="H18" s="30"/>
      <c r="I18" s="30"/>
      <c r="J18" s="30"/>
      <c r="K18" s="30"/>
      <c r="L18" s="32"/>
      <c r="M18" s="32"/>
      <c r="N18" s="32"/>
    </row>
    <row r="19" spans="1:14" x14ac:dyDescent="0.25">
      <c r="A19" s="15" t="s">
        <v>27</v>
      </c>
      <c r="B19" s="22">
        <f>L/ArriveRate</f>
        <v>0.24999998708566037</v>
      </c>
      <c r="C19" s="14" t="str">
        <f>Unit&amp;"s"</f>
        <v>hours</v>
      </c>
      <c r="D19" s="47"/>
      <c r="E19" s="34"/>
      <c r="F19" s="35"/>
      <c r="G19" s="33"/>
      <c r="H19" s="36"/>
      <c r="I19" s="36"/>
      <c r="J19" s="36"/>
      <c r="K19" s="36"/>
      <c r="L19" s="36"/>
      <c r="M19" s="36"/>
      <c r="N19" s="36"/>
    </row>
    <row r="20" spans="1:14" x14ac:dyDescent="0.25">
      <c r="A20" s="15" t="s">
        <v>28</v>
      </c>
      <c r="B20" s="22">
        <f>PWait*Util/(1-Util)</f>
        <v>5.6333329975605038</v>
      </c>
      <c r="C20" s="14" t="s">
        <v>7</v>
      </c>
      <c r="D20" s="1"/>
      <c r="F20" s="8"/>
      <c r="G20" s="9"/>
      <c r="H20" s="9"/>
      <c r="I20" s="9"/>
      <c r="J20" s="9"/>
      <c r="K20" s="9"/>
      <c r="L20" s="9"/>
      <c r="M20" s="9"/>
      <c r="N20" s="9"/>
    </row>
    <row r="21" spans="1:14" x14ac:dyDescent="0.25">
      <c r="A21" s="15" t="s">
        <v>29</v>
      </c>
      <c r="B21" s="22">
        <f>Lq+ArriveRate/ServeRate</f>
        <v>6.49999966422717</v>
      </c>
      <c r="C21" s="14" t="s">
        <v>7</v>
      </c>
      <c r="D21" s="5"/>
      <c r="F21" s="6"/>
      <c r="G21" s="6"/>
      <c r="H21" s="6"/>
      <c r="I21" s="6"/>
      <c r="J21" s="6"/>
      <c r="K21" s="6"/>
      <c r="L21" s="7"/>
      <c r="M21" s="7"/>
      <c r="N21" s="7"/>
    </row>
    <row r="22" spans="1:14" x14ac:dyDescent="0.25">
      <c r="A22" s="27" t="s">
        <v>12</v>
      </c>
      <c r="B22" s="24"/>
      <c r="C22" s="14"/>
      <c r="D22" s="5"/>
      <c r="F22" s="6"/>
      <c r="G22" s="6"/>
      <c r="H22" s="6"/>
      <c r="I22" s="6"/>
      <c r="J22" s="6"/>
      <c r="K22" s="6"/>
      <c r="L22" s="7"/>
      <c r="M22" s="7"/>
      <c r="N22" s="7"/>
    </row>
    <row r="23" spans="1:14" x14ac:dyDescent="0.25">
      <c r="A23" s="56" t="s">
        <v>40</v>
      </c>
      <c r="B23" s="25">
        <f>ServiceCost1*NServers</f>
        <v>8</v>
      </c>
      <c r="C23" s="14" t="s">
        <v>21</v>
      </c>
      <c r="F23" s="3"/>
    </row>
    <row r="24" spans="1:14" x14ac:dyDescent="0.25">
      <c r="A24" s="56" t="s">
        <v>41</v>
      </c>
      <c r="B24" s="25">
        <f>WaitCost1*Lq</f>
        <v>84.499994963407559</v>
      </c>
      <c r="C24" s="14" t="s">
        <v>21</v>
      </c>
      <c r="F24" s="3"/>
    </row>
    <row r="25" spans="1:14" x14ac:dyDescent="0.25">
      <c r="A25" s="56" t="s">
        <v>39</v>
      </c>
      <c r="B25" s="25">
        <f>SUM(B23:B24)</f>
        <v>92.499994963407559</v>
      </c>
      <c r="C25" s="14" t="s">
        <v>21</v>
      </c>
      <c r="F25" s="3"/>
    </row>
    <row r="26" spans="1:14" x14ac:dyDescent="0.25">
      <c r="F26" s="3"/>
    </row>
    <row r="27" spans="1:14" x14ac:dyDescent="0.25">
      <c r="F27" s="3"/>
    </row>
    <row r="28" spans="1:14" x14ac:dyDescent="0.25">
      <c r="F28" s="3"/>
    </row>
    <row r="29" spans="1:14" x14ac:dyDescent="0.25">
      <c r="F29" s="3"/>
    </row>
    <row r="30" spans="1:14" x14ac:dyDescent="0.25">
      <c r="F30" s="3"/>
    </row>
    <row r="31" spans="1:14" x14ac:dyDescent="0.25">
      <c r="F31" s="3"/>
    </row>
    <row r="32" spans="1:14" x14ac:dyDescent="0.25">
      <c r="F32" s="3"/>
    </row>
    <row r="33" spans="6:6" x14ac:dyDescent="0.25">
      <c r="F33" s="3"/>
    </row>
    <row r="34" spans="6:6" x14ac:dyDescent="0.25">
      <c r="F34" s="3"/>
    </row>
    <row r="35" spans="6:6" x14ac:dyDescent="0.25">
      <c r="F35" s="3"/>
    </row>
    <row r="36" spans="6:6" x14ac:dyDescent="0.25">
      <c r="F36" s="3"/>
    </row>
    <row r="37" spans="6:6" x14ac:dyDescent="0.25">
      <c r="F37" s="3"/>
    </row>
    <row r="38" spans="6:6" x14ac:dyDescent="0.25">
      <c r="F38" s="3"/>
    </row>
    <row r="39" spans="6:6" x14ac:dyDescent="0.25">
      <c r="F39" s="3"/>
    </row>
    <row r="40" spans="6:6" x14ac:dyDescent="0.25">
      <c r="F40" s="3"/>
    </row>
    <row r="41" spans="6:6" x14ac:dyDescent="0.25">
      <c r="F41" s="3"/>
    </row>
    <row r="42" spans="6:6" x14ac:dyDescent="0.25">
      <c r="F42" s="3"/>
    </row>
    <row r="43" spans="6:6" x14ac:dyDescent="0.25">
      <c r="F43" s="3"/>
    </row>
    <row r="44" spans="6:6" x14ac:dyDescent="0.25">
      <c r="F44" s="3"/>
    </row>
    <row r="45" spans="6:6" x14ac:dyDescent="0.25">
      <c r="F45" s="3"/>
    </row>
    <row r="46" spans="6:6" x14ac:dyDescent="0.25">
      <c r="F46" s="3"/>
    </row>
    <row r="47" spans="6:6" x14ac:dyDescent="0.25">
      <c r="F47" s="3"/>
    </row>
    <row r="48" spans="6:6" x14ac:dyDescent="0.25">
      <c r="F48" s="3"/>
    </row>
    <row r="49" spans="6:6" x14ac:dyDescent="0.25">
      <c r="F49" s="3"/>
    </row>
    <row r="50" spans="6:6" x14ac:dyDescent="0.25">
      <c r="F50" s="3"/>
    </row>
  </sheetData>
  <mergeCells count="1">
    <mergeCell ref="D9:E9"/>
  </mergeCells>
  <phoneticPr fontId="0" type="noConversion"/>
  <printOptions headings="1" gridLines="1" gridLinesSet="0"/>
  <pageMargins left="0.16" right="0.12" top="0.47" bottom="1" header="0.28999999999999998" footer="0.5"/>
  <pageSetup scale="97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Line="0" autoPict="0" macro="[0]!CalcP0">
                <anchor moveWithCells="1" sizeWithCells="1">
                  <from>
                    <xdr:col>0</xdr:col>
                    <xdr:colOff>1699260</xdr:colOff>
                    <xdr:row>8</xdr:row>
                    <xdr:rowOff>45720</xdr:rowOff>
                  </from>
                  <to>
                    <xdr:col>2</xdr:col>
                    <xdr:colOff>152400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N50"/>
  <sheetViews>
    <sheetView workbookViewId="0">
      <selection activeCell="B6" sqref="B6"/>
    </sheetView>
  </sheetViews>
  <sheetFormatPr defaultRowHeight="13.2" x14ac:dyDescent="0.25"/>
  <cols>
    <col min="1" max="1" width="27" customWidth="1"/>
    <col min="2" max="2" width="8.88671875" style="5" customWidth="1"/>
    <col min="3" max="3" width="13.33203125" style="5" customWidth="1"/>
    <col min="4" max="4" width="5.88671875" customWidth="1"/>
    <col min="5" max="5" width="8.5546875" customWidth="1"/>
    <col min="6" max="6" width="14.33203125" customWidth="1"/>
    <col min="7" max="7" width="6" customWidth="1"/>
    <col min="8" max="8" width="6.5546875" customWidth="1"/>
    <col min="9" max="9" width="7.6640625" customWidth="1"/>
    <col min="10" max="10" width="6.109375" customWidth="1"/>
    <col min="11" max="11" width="5.6640625" customWidth="1"/>
    <col min="12" max="12" width="9.44140625" customWidth="1"/>
    <col min="13" max="13" width="10.33203125" customWidth="1"/>
    <col min="14" max="14" width="8" customWidth="1"/>
  </cols>
  <sheetData>
    <row r="1" spans="1:14" x14ac:dyDescent="0.25">
      <c r="A1" s="26" t="s">
        <v>31</v>
      </c>
    </row>
    <row r="2" spans="1:14" x14ac:dyDescent="0.25">
      <c r="A2" s="27" t="s">
        <v>10</v>
      </c>
      <c r="B2" s="14"/>
      <c r="C2" s="14"/>
    </row>
    <row r="3" spans="1:14" x14ac:dyDescent="0.25">
      <c r="A3" s="15" t="s">
        <v>1</v>
      </c>
      <c r="B3" s="67" t="s">
        <v>2</v>
      </c>
      <c r="C3" s="14"/>
    </row>
    <row r="4" spans="1:14" x14ac:dyDescent="0.25">
      <c r="A4" s="15" t="s">
        <v>3</v>
      </c>
      <c r="B4" s="68">
        <v>26</v>
      </c>
      <c r="C4" s="14" t="str">
        <f>"customers/"&amp;Unit</f>
        <v>customers/hour</v>
      </c>
      <c r="D4" s="2"/>
      <c r="E4" s="11" t="s">
        <v>0</v>
      </c>
    </row>
    <row r="5" spans="1:14" x14ac:dyDescent="0.25">
      <c r="A5" s="15" t="s">
        <v>4</v>
      </c>
      <c r="B5" s="68">
        <v>30</v>
      </c>
      <c r="C5" s="14" t="str">
        <f>"customers/"&amp;Unit</f>
        <v>customers/hour</v>
      </c>
      <c r="D5" s="2"/>
      <c r="E5" s="1" t="s">
        <v>38</v>
      </c>
      <c r="F5" s="55"/>
      <c r="G5" s="55"/>
      <c r="H5" s="55"/>
      <c r="I5" s="55"/>
      <c r="J5" s="55"/>
      <c r="K5" s="38"/>
      <c r="L5" s="38"/>
    </row>
    <row r="6" spans="1:14" x14ac:dyDescent="0.25">
      <c r="A6" s="15" t="s">
        <v>5</v>
      </c>
      <c r="B6" s="67">
        <v>1</v>
      </c>
      <c r="C6" s="14"/>
      <c r="D6" s="2"/>
      <c r="E6" s="1" t="s">
        <v>37</v>
      </c>
      <c r="F6" s="55"/>
      <c r="G6" s="55"/>
      <c r="H6" s="55"/>
      <c r="I6" s="55"/>
      <c r="J6" s="55"/>
      <c r="K6" s="38"/>
      <c r="L6" s="38"/>
    </row>
    <row r="7" spans="1:14" x14ac:dyDescent="0.25">
      <c r="A7" s="15" t="s">
        <v>8</v>
      </c>
      <c r="B7" s="69">
        <v>8</v>
      </c>
      <c r="C7" s="14" t="str">
        <f>"$/"&amp;Unit</f>
        <v>$/hour</v>
      </c>
    </row>
    <row r="8" spans="1:14" x14ac:dyDescent="0.25">
      <c r="A8" s="15" t="s">
        <v>9</v>
      </c>
      <c r="B8" s="69">
        <v>15</v>
      </c>
      <c r="C8" s="41" t="str">
        <f>"$/"&amp;Unit</f>
        <v>$/hour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14" x14ac:dyDescent="0.25">
      <c r="D9" s="70"/>
      <c r="E9" s="70"/>
      <c r="F9" s="35"/>
      <c r="G9" s="33"/>
      <c r="H9" s="36"/>
      <c r="I9" s="36"/>
      <c r="J9" s="36"/>
      <c r="K9" s="36"/>
      <c r="L9" s="42"/>
      <c r="M9" s="37"/>
      <c r="N9" s="36"/>
    </row>
    <row r="10" spans="1:14" ht="26.4" x14ac:dyDescent="0.25">
      <c r="A10" s="27" t="s">
        <v>11</v>
      </c>
      <c r="B10" s="14"/>
      <c r="C10" s="14"/>
      <c r="D10" s="43" t="s">
        <v>13</v>
      </c>
      <c r="E10" s="13"/>
      <c r="F10" s="40" t="s">
        <v>14</v>
      </c>
      <c r="G10" s="16" t="s">
        <v>24</v>
      </c>
      <c r="H10" s="16" t="s">
        <v>15</v>
      </c>
      <c r="I10" s="16" t="s">
        <v>16</v>
      </c>
      <c r="J10" s="16" t="s">
        <v>17</v>
      </c>
      <c r="K10" s="16" t="s">
        <v>18</v>
      </c>
      <c r="L10" s="39" t="s">
        <v>32</v>
      </c>
      <c r="M10" s="39" t="s">
        <v>33</v>
      </c>
      <c r="N10" s="39" t="s">
        <v>34</v>
      </c>
    </row>
    <row r="11" spans="1:14" x14ac:dyDescent="0.25">
      <c r="A11" s="27" t="s">
        <v>19</v>
      </c>
      <c r="B11" s="14"/>
      <c r="C11" s="14"/>
      <c r="D11" s="59" t="s">
        <v>30</v>
      </c>
      <c r="E11" s="60">
        <f>NServers</f>
        <v>1</v>
      </c>
      <c r="F11" s="61">
        <f>B14</f>
        <v>0.8666666666666667</v>
      </c>
      <c r="G11" s="62">
        <f>Prob0</f>
        <v>0.13333332538604736</v>
      </c>
      <c r="H11" s="61">
        <f>B18</f>
        <v>0.21666665375232708</v>
      </c>
      <c r="I11" s="61">
        <f>B19</f>
        <v>0.24999998708566037</v>
      </c>
      <c r="J11" s="61">
        <f>B20</f>
        <v>5.6333329975605038</v>
      </c>
      <c r="K11" s="61">
        <f>B21</f>
        <v>6.49999966422717</v>
      </c>
      <c r="L11" s="63">
        <f>B23</f>
        <v>8</v>
      </c>
      <c r="M11" s="63">
        <f>B24</f>
        <v>84.499994963407559</v>
      </c>
      <c r="N11" s="63">
        <f>B25</f>
        <v>92.499994963407559</v>
      </c>
    </row>
    <row r="12" spans="1:14" x14ac:dyDescent="0.25">
      <c r="A12" s="15" t="s">
        <v>22</v>
      </c>
      <c r="B12" s="21">
        <f>1/ArriveRate</f>
        <v>3.8461538461538464E-2</v>
      </c>
      <c r="C12" s="14" t="str">
        <f>Unit&amp;"s"</f>
        <v>hours</v>
      </c>
      <c r="D12" s="2"/>
      <c r="E12" s="12"/>
      <c r="F12" s="10"/>
      <c r="H12" s="2"/>
      <c r="I12" s="2"/>
    </row>
    <row r="13" spans="1:14" x14ac:dyDescent="0.25">
      <c r="A13" s="15" t="s">
        <v>23</v>
      </c>
      <c r="B13" s="21">
        <f>1/ServeRate</f>
        <v>3.3333333333333333E-2</v>
      </c>
      <c r="C13" s="14" t="str">
        <f>Unit&amp;"s"</f>
        <v>hours</v>
      </c>
      <c r="D13" s="33"/>
      <c r="E13" s="34"/>
      <c r="F13" s="35"/>
      <c r="G13" s="33"/>
      <c r="H13" s="36"/>
      <c r="I13" s="36"/>
      <c r="J13" s="36"/>
      <c r="K13" s="36"/>
      <c r="L13" s="37"/>
      <c r="M13" s="37"/>
      <c r="N13" s="36"/>
    </row>
    <row r="14" spans="1:14" ht="26.4" customHeight="1" x14ac:dyDescent="0.25">
      <c r="A14" s="56" t="s">
        <v>43</v>
      </c>
      <c r="B14" s="21">
        <f>ArriveRate/(NServers*ServeRate)</f>
        <v>0.8666666666666667</v>
      </c>
      <c r="C14" s="14"/>
      <c r="D14" s="71" t="s">
        <v>13</v>
      </c>
      <c r="E14" s="72"/>
      <c r="F14" s="40" t="s">
        <v>14</v>
      </c>
      <c r="G14" s="16" t="s">
        <v>24</v>
      </c>
      <c r="H14" s="16" t="s">
        <v>15</v>
      </c>
      <c r="I14" s="16" t="s">
        <v>16</v>
      </c>
      <c r="J14" s="16" t="s">
        <v>17</v>
      </c>
      <c r="K14" s="16" t="s">
        <v>18</v>
      </c>
      <c r="L14" s="16" t="s">
        <v>32</v>
      </c>
      <c r="M14" s="16" t="s">
        <v>33</v>
      </c>
      <c r="N14" s="16" t="s">
        <v>34</v>
      </c>
    </row>
    <row r="15" spans="1:14" x14ac:dyDescent="0.25">
      <c r="A15" s="27" t="s">
        <v>20</v>
      </c>
      <c r="B15" s="21"/>
      <c r="C15" s="14"/>
      <c r="D15" s="50" t="s">
        <v>30</v>
      </c>
      <c r="E15" s="51">
        <v>1</v>
      </c>
      <c r="F15" s="52">
        <v>0.8666666666666667</v>
      </c>
      <c r="G15" s="43">
        <v>0.13333332538604736</v>
      </c>
      <c r="H15" s="52">
        <v>0.21666665375232708</v>
      </c>
      <c r="I15" s="52">
        <v>0.24999998708566037</v>
      </c>
      <c r="J15" s="52">
        <v>5.6333329975605038</v>
      </c>
      <c r="K15" s="52">
        <v>6.49999966422717</v>
      </c>
      <c r="L15" s="53">
        <v>8</v>
      </c>
      <c r="M15" s="53">
        <v>84.499994963407559</v>
      </c>
      <c r="N15" s="53">
        <v>92.499994963407559</v>
      </c>
    </row>
    <row r="16" spans="1:14" x14ac:dyDescent="0.25">
      <c r="A16" s="15" t="s">
        <v>25</v>
      </c>
      <c r="B16" s="22">
        <v>0.13333332538604736</v>
      </c>
      <c r="C16" s="14"/>
      <c r="D16" s="44" t="s">
        <v>30</v>
      </c>
      <c r="E16" s="17">
        <v>2</v>
      </c>
      <c r="F16" s="18">
        <v>0.43333333333333335</v>
      </c>
      <c r="G16" s="19">
        <v>0.3953488333409641</v>
      </c>
      <c r="H16" s="18">
        <v>7.7063382738896125E-3</v>
      </c>
      <c r="I16" s="18">
        <v>4.1039671607222945E-2</v>
      </c>
      <c r="J16" s="18">
        <v>0.20036479512112992</v>
      </c>
      <c r="K16" s="18">
        <v>1.0670314617877965</v>
      </c>
      <c r="L16" s="20">
        <v>16</v>
      </c>
      <c r="M16" s="20">
        <v>3.005471926816949</v>
      </c>
      <c r="N16" s="20">
        <v>19.005471926816949</v>
      </c>
    </row>
    <row r="17" spans="1:14" x14ac:dyDescent="0.25">
      <c r="A17" s="15" t="s">
        <v>6</v>
      </c>
      <c r="B17" s="23">
        <f>(NServers*Util)^NServers*Prob0/(FACT(NServers)*(1-Util))</f>
        <v>0.86666661500930808</v>
      </c>
      <c r="C17" s="14"/>
      <c r="D17" s="50" t="s">
        <v>30</v>
      </c>
      <c r="E17" s="51">
        <v>3</v>
      </c>
      <c r="F17" s="52">
        <v>0.28888888888888886</v>
      </c>
      <c r="G17" s="43">
        <v>0.41757284153028867</v>
      </c>
      <c r="H17" s="52">
        <v>9.9545088199006469E-4</v>
      </c>
      <c r="I17" s="52">
        <v>3.4328784215323399E-2</v>
      </c>
      <c r="J17" s="52">
        <v>2.5881722931741683E-2</v>
      </c>
      <c r="K17" s="52">
        <v>0.89254838959840843</v>
      </c>
      <c r="L17" s="53">
        <v>24</v>
      </c>
      <c r="M17" s="53">
        <v>0.38822584397612525</v>
      </c>
      <c r="N17" s="53">
        <v>24.388225843976127</v>
      </c>
    </row>
    <row r="18" spans="1:14" x14ac:dyDescent="0.25">
      <c r="A18" s="15" t="s">
        <v>26</v>
      </c>
      <c r="B18" s="22">
        <f>Lq/ArriveRate</f>
        <v>0.21666665375232708</v>
      </c>
      <c r="C18" s="14" t="str">
        <f>Unit&amp;"s"</f>
        <v>hours</v>
      </c>
      <c r="D18" s="50" t="s">
        <v>30</v>
      </c>
      <c r="E18" s="51">
        <v>4</v>
      </c>
      <c r="F18" s="52">
        <v>0.21666666666666667</v>
      </c>
      <c r="G18" s="54">
        <v>0.42004011395510404</v>
      </c>
      <c r="H18" s="52">
        <v>1.34095263424841E-4</v>
      </c>
      <c r="I18" s="52">
        <v>3.3467428596758178E-2</v>
      </c>
      <c r="J18" s="52">
        <v>3.4864768490458779E-3</v>
      </c>
      <c r="K18" s="52">
        <v>0.8701531435157126</v>
      </c>
      <c r="L18" s="53">
        <v>32</v>
      </c>
      <c r="M18" s="53">
        <v>5.229715273568817E-2</v>
      </c>
      <c r="N18" s="53">
        <v>32.05229715273569</v>
      </c>
    </row>
    <row r="19" spans="1:14" x14ac:dyDescent="0.25">
      <c r="A19" s="15" t="s">
        <v>27</v>
      </c>
      <c r="B19" s="22">
        <f>L/ArriveRate</f>
        <v>0.24999998708566037</v>
      </c>
      <c r="C19" s="14" t="str">
        <f>Unit&amp;"s"</f>
        <v>hours</v>
      </c>
      <c r="D19" s="2"/>
      <c r="E19" s="4"/>
      <c r="F19" s="8"/>
      <c r="H19" s="9"/>
      <c r="I19" s="9"/>
      <c r="J19" s="9"/>
      <c r="K19" s="9"/>
      <c r="L19" s="9"/>
      <c r="M19" s="9"/>
      <c r="N19" s="9"/>
    </row>
    <row r="20" spans="1:14" x14ac:dyDescent="0.25">
      <c r="A20" s="15" t="s">
        <v>28</v>
      </c>
      <c r="B20" s="22">
        <f>PWait*Util/(1-Util)</f>
        <v>5.6333329975605038</v>
      </c>
      <c r="C20" s="14" t="s">
        <v>7</v>
      </c>
      <c r="D20" s="1"/>
      <c r="F20" s="8"/>
      <c r="G20" s="9"/>
      <c r="H20" s="9"/>
      <c r="I20" s="9"/>
      <c r="J20" s="9"/>
      <c r="K20" s="9"/>
      <c r="L20" s="9"/>
      <c r="M20" s="9"/>
      <c r="N20" s="9"/>
    </row>
    <row r="21" spans="1:14" x14ac:dyDescent="0.25">
      <c r="A21" s="15" t="s">
        <v>29</v>
      </c>
      <c r="B21" s="22">
        <f>Lq+ArriveRate/ServeRate</f>
        <v>6.49999966422717</v>
      </c>
      <c r="C21" s="14" t="s">
        <v>7</v>
      </c>
      <c r="D21" s="5"/>
      <c r="F21" s="6"/>
      <c r="G21" s="6"/>
      <c r="H21" s="6"/>
      <c r="I21" s="6"/>
      <c r="J21" s="6"/>
      <c r="K21" s="6"/>
      <c r="L21" s="7"/>
      <c r="M21" s="7"/>
      <c r="N21" s="7"/>
    </row>
    <row r="22" spans="1:14" x14ac:dyDescent="0.25">
      <c r="A22" s="27" t="s">
        <v>12</v>
      </c>
      <c r="B22" s="24"/>
      <c r="C22" s="14"/>
      <c r="D22" s="5"/>
      <c r="F22" s="6"/>
      <c r="G22" s="6"/>
      <c r="H22" s="6"/>
      <c r="I22" s="6"/>
      <c r="J22" s="6"/>
      <c r="K22" s="6"/>
      <c r="L22" s="7"/>
      <c r="M22" s="7"/>
      <c r="N22" s="7"/>
    </row>
    <row r="23" spans="1:14" x14ac:dyDescent="0.25">
      <c r="A23" s="56" t="s">
        <v>40</v>
      </c>
      <c r="B23" s="25">
        <f>ServiceCost1*NServers</f>
        <v>8</v>
      </c>
      <c r="C23" s="14" t="s">
        <v>21</v>
      </c>
      <c r="F23" s="3"/>
    </row>
    <row r="24" spans="1:14" x14ac:dyDescent="0.25">
      <c r="A24" s="56" t="s">
        <v>41</v>
      </c>
      <c r="B24" s="25">
        <f>WaitCost1*Lq</f>
        <v>84.499994963407559</v>
      </c>
      <c r="C24" s="14" t="s">
        <v>21</v>
      </c>
      <c r="F24" s="3"/>
    </row>
    <row r="25" spans="1:14" x14ac:dyDescent="0.25">
      <c r="A25" s="56" t="s">
        <v>39</v>
      </c>
      <c r="B25" s="25">
        <f>SUM(B23:B24)</f>
        <v>92.499994963407559</v>
      </c>
      <c r="C25" s="14" t="s">
        <v>21</v>
      </c>
      <c r="F25" s="3"/>
    </row>
    <row r="26" spans="1:14" x14ac:dyDescent="0.25">
      <c r="F26" s="3"/>
    </row>
    <row r="27" spans="1:14" x14ac:dyDescent="0.25">
      <c r="F27" s="3"/>
    </row>
    <row r="28" spans="1:14" x14ac:dyDescent="0.25">
      <c r="F28" s="3"/>
    </row>
    <row r="29" spans="1:14" x14ac:dyDescent="0.25">
      <c r="F29" s="3"/>
    </row>
    <row r="30" spans="1:14" x14ac:dyDescent="0.25">
      <c r="F30" s="3"/>
    </row>
    <row r="31" spans="1:14" x14ac:dyDescent="0.25">
      <c r="F31" s="3"/>
    </row>
    <row r="32" spans="1:14" x14ac:dyDescent="0.25">
      <c r="F32" s="3"/>
    </row>
    <row r="33" spans="6:6" x14ac:dyDescent="0.25">
      <c r="F33" s="3"/>
    </row>
    <row r="34" spans="6:6" x14ac:dyDescent="0.25">
      <c r="F34" s="3"/>
    </row>
    <row r="35" spans="6:6" x14ac:dyDescent="0.25">
      <c r="F35" s="3"/>
    </row>
    <row r="36" spans="6:6" x14ac:dyDescent="0.25">
      <c r="F36" s="3"/>
    </row>
    <row r="37" spans="6:6" x14ac:dyDescent="0.25">
      <c r="F37" s="3"/>
    </row>
    <row r="38" spans="6:6" x14ac:dyDescent="0.25">
      <c r="F38" s="3"/>
    </row>
    <row r="39" spans="6:6" x14ac:dyDescent="0.25">
      <c r="F39" s="3"/>
    </row>
    <row r="40" spans="6:6" x14ac:dyDescent="0.25">
      <c r="F40" s="3"/>
    </row>
    <row r="41" spans="6:6" x14ac:dyDescent="0.25">
      <c r="F41" s="3"/>
    </row>
    <row r="42" spans="6:6" x14ac:dyDescent="0.25">
      <c r="F42" s="3"/>
    </row>
    <row r="43" spans="6:6" x14ac:dyDescent="0.25">
      <c r="F43" s="3"/>
    </row>
    <row r="44" spans="6:6" x14ac:dyDescent="0.25">
      <c r="F44" s="3"/>
    </row>
    <row r="45" spans="6:6" x14ac:dyDescent="0.25">
      <c r="F45" s="3"/>
    </row>
    <row r="46" spans="6:6" x14ac:dyDescent="0.25">
      <c r="F46" s="3"/>
    </row>
    <row r="47" spans="6:6" x14ac:dyDescent="0.25">
      <c r="F47" s="3"/>
    </row>
    <row r="48" spans="6:6" x14ac:dyDescent="0.25">
      <c r="F48" s="3"/>
    </row>
    <row r="49" spans="6:6" x14ac:dyDescent="0.25">
      <c r="F49" s="3"/>
    </row>
    <row r="50" spans="6:6" x14ac:dyDescent="0.25">
      <c r="F50" s="3"/>
    </row>
  </sheetData>
  <mergeCells count="2">
    <mergeCell ref="D9:E9"/>
    <mergeCell ref="D14:E14"/>
  </mergeCells>
  <printOptions headings="1" gridLines="1" gridLinesSet="0"/>
  <pageMargins left="0.16" right="0.12" top="0.47" bottom="1" header="0.28999999999999998" footer="0.5"/>
  <pageSetup scale="97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Line="0" autoPict="0" macro="[0]!CalcP0">
                <anchor moveWithCells="1" sizeWithCells="1">
                  <from>
                    <xdr:col>0</xdr:col>
                    <xdr:colOff>1699260</xdr:colOff>
                    <xdr:row>8</xdr:row>
                    <xdr:rowOff>45720</xdr:rowOff>
                  </from>
                  <to>
                    <xdr:col>2</xdr:col>
                    <xdr:colOff>152400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MMs</vt:lpstr>
      <vt:lpstr>MMs (2)</vt:lpstr>
      <vt:lpstr>'MMs (2)'!ArriveRate</vt:lpstr>
      <vt:lpstr>ArriveRate</vt:lpstr>
      <vt:lpstr>'MMs (2)'!L</vt:lpstr>
      <vt:lpstr>L</vt:lpstr>
      <vt:lpstr>'MMs (2)'!Lq</vt:lpstr>
      <vt:lpstr>Lq</vt:lpstr>
      <vt:lpstr>'MMs (2)'!NServers</vt:lpstr>
      <vt:lpstr>NServers</vt:lpstr>
      <vt:lpstr>'MMs (2)'!Prob0</vt:lpstr>
      <vt:lpstr>Prob0</vt:lpstr>
      <vt:lpstr>'MMs (2)'!PWait</vt:lpstr>
      <vt:lpstr>PWait</vt:lpstr>
      <vt:lpstr>'MMs (2)'!ServeRate</vt:lpstr>
      <vt:lpstr>ServeRate</vt:lpstr>
      <vt:lpstr>'MMs (2)'!ServiceCost1</vt:lpstr>
      <vt:lpstr>ServiceCost1</vt:lpstr>
      <vt:lpstr>'MMs (2)'!Unit</vt:lpstr>
      <vt:lpstr>Unit</vt:lpstr>
      <vt:lpstr>'MMs (2)'!Util</vt:lpstr>
      <vt:lpstr>Util</vt:lpstr>
      <vt:lpstr>'MMs (2)'!W</vt:lpstr>
      <vt:lpstr>W</vt:lpstr>
      <vt:lpstr>'MMs (2)'!WaitCost1</vt:lpstr>
      <vt:lpstr>WaitCost1</vt:lpstr>
      <vt:lpstr>'MMs (2)'!Wq</vt:lpstr>
      <vt:lpstr>Wq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zdr</dc:creator>
  <cp:lastModifiedBy>Zinovy Radovilsky</cp:lastModifiedBy>
  <cp:lastPrinted>2008-04-20T18:43:15Z</cp:lastPrinted>
  <dcterms:created xsi:type="dcterms:W3CDTF">1999-09-13T02:10:48Z</dcterms:created>
  <dcterms:modified xsi:type="dcterms:W3CDTF">2017-03-01T22:02:00Z</dcterms:modified>
</cp:coreProperties>
</file>